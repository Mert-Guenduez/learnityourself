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Jannik\Documents\GitHub\learnityourself\UserTesting\"/>
    </mc:Choice>
  </mc:AlternateContent>
  <bookViews>
    <workbookView xWindow="0" yWindow="0" windowWidth="16380" windowHeight="8190" tabRatio="500"/>
  </bookViews>
  <sheets>
    <sheet name="Tabelle1" sheetId="1" r:id="rId1"/>
  </sheets>
  <calcPr calcId="162913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I20" i="1" l="1"/>
  <c r="I19" i="1"/>
  <c r="I18" i="1"/>
  <c r="I17" i="1"/>
  <c r="H17" i="1"/>
  <c r="H16" i="1"/>
  <c r="H15" i="1"/>
  <c r="H14" i="1"/>
  <c r="I14" i="1" s="1"/>
  <c r="H13" i="1"/>
  <c r="H12" i="1"/>
  <c r="H11" i="1"/>
  <c r="H10" i="1"/>
  <c r="I10" i="1" s="1"/>
  <c r="H9" i="1"/>
  <c r="I9" i="1" s="1"/>
  <c r="H8" i="1"/>
  <c r="I8" i="1" s="1"/>
  <c r="H7" i="1"/>
  <c r="I7" i="1" s="1"/>
  <c r="H6" i="1"/>
  <c r="I6" i="1" s="1"/>
  <c r="H5" i="1"/>
  <c r="I5" i="1" s="1"/>
  <c r="H4" i="1"/>
  <c r="I4" i="1" s="1"/>
  <c r="H3" i="1"/>
  <c r="I3" i="1" s="1"/>
  <c r="I16" i="1" l="1"/>
  <c r="I13" i="1"/>
  <c r="I21" i="1" l="1"/>
</calcChain>
</file>

<file path=xl/sharedStrings.xml><?xml version="1.0" encoding="utf-8"?>
<sst xmlns="http://schemas.openxmlformats.org/spreadsheetml/2006/main" count="54" uniqueCount="49">
  <si>
    <t>Please rate each of these Points with a Number between 1 and 10 for each Test</t>
  </si>
  <si>
    <t>UC</t>
  </si>
  <si>
    <t>Test</t>
  </si>
  <si>
    <t>Comfort</t>
  </si>
  <si>
    <t>Visual Design</t>
  </si>
  <si>
    <t>Intuitiveness</t>
  </si>
  <si>
    <t>Speed</t>
  </si>
  <si>
    <t>Stability</t>
  </si>
  <si>
    <t>Weighted Average</t>
  </si>
  <si>
    <t>UC Average</t>
  </si>
  <si>
    <t>Register</t>
  </si>
  <si>
    <t>Register an Account</t>
  </si>
  <si>
    <t>Login</t>
  </si>
  <si>
    <t>Log into your Account</t>
  </si>
  <si>
    <t>Change Password</t>
  </si>
  <si>
    <t>Change your Password</t>
  </si>
  <si>
    <t>Logout</t>
  </si>
  <si>
    <t>Log out</t>
  </si>
  <si>
    <t>Create Mission</t>
  </si>
  <si>
    <t>Create a new Mission</t>
  </si>
  <si>
    <t>EditMission</t>
  </si>
  <si>
    <t>Edit Mission</t>
  </si>
  <si>
    <t>Add User</t>
  </si>
  <si>
    <t>Add a user to Mission</t>
  </si>
  <si>
    <t>View Missions</t>
  </si>
  <si>
    <t>Look at different Missions</t>
  </si>
  <si>
    <t>ManageTasks</t>
  </si>
  <si>
    <t>Look at tasks</t>
  </si>
  <si>
    <t>Create new Task</t>
  </si>
  <si>
    <t>Edit Task</t>
  </si>
  <si>
    <t>Complete Task</t>
  </si>
  <si>
    <t>Custom Rewards</t>
  </si>
  <si>
    <t>Look at your Rewards</t>
  </si>
  <si>
    <t>Created New Reward</t>
  </si>
  <si>
    <t>Spend Points</t>
  </si>
  <si>
    <t>Spend Points on Reward</t>
  </si>
  <si>
    <t>View Mission Statistics</t>
  </si>
  <si>
    <t>Look at a missions statistics</t>
  </si>
  <si>
    <t>View User Statistics</t>
  </si>
  <si>
    <t>Look at your User statistics</t>
  </si>
  <si>
    <t>LeaveMission</t>
  </si>
  <si>
    <t>Leave a Mission</t>
  </si>
  <si>
    <t>TOTAL AVERAGE:</t>
  </si>
  <si>
    <t>*</t>
  </si>
  <si>
    <t>* Absturz</t>
  </si>
  <si>
    <t>* funktioniert nicht</t>
  </si>
  <si>
    <t>* hat bisschen rumgehangen</t>
  </si>
  <si>
    <t>* Completed, Edit, Completed -&gt; Error ; Completed mark nicht untereinander</t>
  </si>
  <si>
    <t>* Popup, warum nicht bei tasks?? Fand Daniel cool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</si>
</sst>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0"/>
      <name val="Arial"/>
      <family val="2"/>
      <charset val="1"/>
    </font>
  </fonts>
  <fills count="6">
    <fill>
      <patternFill patternType="none"/>
    </fill>
    <fill>
      <patternFill patternType="gray125"/>
    </fill>
    <fill>
      <patternFill patternType="solid">
        <fgColor rgb="FFFFF200"/>
        <bgColor rgb="FFFFFF00"/>
      </patternFill>
    </fill>
    <fill>
      <patternFill patternType="solid">
        <fgColor rgb="FFC2E0AE"/>
        <bgColor rgb="FFCCFFCC"/>
      </patternFill>
    </fill>
    <fill>
      <patternFill patternType="solid">
        <fgColor rgb="FFFDC578"/>
        <bgColor rgb="FFFFCC00"/>
      </patternFill>
    </fill>
    <fill>
      <patternFill patternType="solid">
        <fgColor rgb="FFF04E4D"/>
        <bgColor rgb="FFFF8080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0" borderId="4" xfId="0" applyFont="1" applyBorder="1"/>
    <xf numFmtId="0" fontId="0" fillId="0" borderId="5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0" fillId="0" borderId="6" xfId="0" applyFont="1" applyBorder="1"/>
    <xf numFmtId="0" fontId="0" fillId="0" borderId="7" xfId="0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10" xfId="0" applyBorder="1"/>
    <xf numFmtId="2" fontId="0" fillId="3" borderId="5" xfId="0" applyNumberFormat="1" applyFill="1" applyBorder="1"/>
    <xf numFmtId="2" fontId="0" fillId="4" borderId="5" xfId="0" applyNumberFormat="1" applyFill="1" applyBorder="1"/>
    <xf numFmtId="2" fontId="0" fillId="5" borderId="5" xfId="0" applyNumberFormat="1" applyFill="1" applyBorder="1"/>
    <xf numFmtId="2" fontId="0" fillId="3" borderId="6" xfId="0" applyNumberFormat="1" applyFill="1" applyBorder="1"/>
    <xf numFmtId="2" fontId="0" fillId="4" borderId="6" xfId="0" applyNumberFormat="1" applyFill="1" applyBorder="1"/>
    <xf numFmtId="2" fontId="0" fillId="5" borderId="6" xfId="0" applyNumberFormat="1" applyFill="1" applyBorder="1"/>
    <xf numFmtId="2" fontId="0" fillId="3" borderId="7" xfId="0" applyNumberFormat="1" applyFill="1" applyBorder="1"/>
    <xf numFmtId="2" fontId="0" fillId="4" borderId="7" xfId="0" applyNumberFormat="1" applyFill="1" applyBorder="1"/>
    <xf numFmtId="2" fontId="0" fillId="5" borderId="7" xfId="0" applyNumberFormat="1" applyFill="1" applyBorder="1"/>
    <xf numFmtId="2" fontId="0" fillId="3" borderId="8" xfId="0" applyNumberFormat="1" applyFill="1" applyBorder="1"/>
    <xf numFmtId="2" fontId="0" fillId="4" borderId="8" xfId="0" applyNumberFormat="1" applyFill="1" applyBorder="1"/>
    <xf numFmtId="2" fontId="0" fillId="5" borderId="8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2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2E0AE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DC578"/>
      <rgbColor rgb="FF3366FF"/>
      <rgbColor rgb="FF33CCCC"/>
      <rgbColor rgb="FF99CC00"/>
      <rgbColor rgb="FFFFCC00"/>
      <rgbColor rgb="FFFF9900"/>
      <rgbColor rgb="FFF04E4D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1"/>
  <sheetViews>
    <sheetView tabSelected="1" zoomScaleNormal="100" workbookViewId="0">
      <selection activeCell="J20" sqref="J20"/>
    </sheetView>
  </sheetViews>
  <sheetFormatPr baseColWidth="10" defaultColWidth="9.140625" defaultRowHeight="12.75" x14ac:dyDescent="0.2"/>
  <cols>
    <col min="1" max="1" width="16.7109375" customWidth="1"/>
    <col min="2" max="2" width="22.28515625" customWidth="1"/>
    <col min="3" max="3" width="11.5703125"/>
    <col min="4" max="4" width="12.5703125" customWidth="1"/>
    <col min="5" max="7" width="11.5703125"/>
    <col min="8" max="8" width="19.5703125" customWidth="1"/>
    <col min="9" max="9" width="16.42578125" customWidth="1"/>
    <col min="10" max="1025" width="11.5703125"/>
  </cols>
  <sheetData>
    <row r="1" spans="1:10" x14ac:dyDescent="0.2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10" x14ac:dyDescent="0.2">
      <c r="A2" s="2" t="s">
        <v>1</v>
      </c>
      <c r="B2" s="3" t="s">
        <v>2</v>
      </c>
      <c r="C2" s="4" t="s">
        <v>3</v>
      </c>
      <c r="D2" s="4" t="s">
        <v>4</v>
      </c>
      <c r="E2" s="5" t="s">
        <v>5</v>
      </c>
      <c r="F2" s="5" t="s">
        <v>6</v>
      </c>
      <c r="G2" s="6" t="s">
        <v>7</v>
      </c>
      <c r="H2" s="3" t="s">
        <v>8</v>
      </c>
      <c r="I2" s="7" t="s">
        <v>9</v>
      </c>
    </row>
    <row r="3" spans="1:10" x14ac:dyDescent="0.2">
      <c r="A3" s="8" t="s">
        <v>10</v>
      </c>
      <c r="B3" s="8" t="s">
        <v>11</v>
      </c>
      <c r="C3" s="17">
        <v>8.5</v>
      </c>
      <c r="D3" s="9">
        <v>1</v>
      </c>
      <c r="E3" s="10">
        <v>6</v>
      </c>
      <c r="F3" s="10">
        <v>9</v>
      </c>
      <c r="G3" s="11">
        <v>10</v>
      </c>
      <c r="H3" s="8">
        <f t="shared" ref="H3:H17" si="0">SUM(1*C3,1*D3,2*E3,2*F3,3*G3)/9</f>
        <v>7.7222222222222223</v>
      </c>
      <c r="I3" s="8">
        <f t="shared" ref="I3:I10" si="1">SUM(H3)</f>
        <v>7.7222222222222223</v>
      </c>
    </row>
    <row r="4" spans="1:10" x14ac:dyDescent="0.2">
      <c r="A4" s="8" t="s">
        <v>12</v>
      </c>
      <c r="B4" s="8" t="s">
        <v>13</v>
      </c>
      <c r="C4" s="17">
        <v>8.5</v>
      </c>
      <c r="D4" s="17">
        <v>1</v>
      </c>
      <c r="E4" s="18">
        <v>8</v>
      </c>
      <c r="F4" s="18">
        <v>9</v>
      </c>
      <c r="G4" s="19">
        <v>10</v>
      </c>
      <c r="H4" s="8">
        <f t="shared" si="0"/>
        <v>8.1666666666666661</v>
      </c>
      <c r="I4" s="8">
        <f t="shared" si="1"/>
        <v>8.1666666666666661</v>
      </c>
    </row>
    <row r="5" spans="1:10" x14ac:dyDescent="0.2">
      <c r="A5" s="8" t="s">
        <v>14</v>
      </c>
      <c r="B5" s="8" t="s">
        <v>15</v>
      </c>
      <c r="C5" s="17">
        <v>1</v>
      </c>
      <c r="D5" s="17">
        <v>1</v>
      </c>
      <c r="E5" s="18">
        <v>1</v>
      </c>
      <c r="F5" s="18">
        <v>1</v>
      </c>
      <c r="G5" s="19">
        <v>1</v>
      </c>
      <c r="H5" s="8">
        <f t="shared" si="0"/>
        <v>1</v>
      </c>
      <c r="I5" s="8">
        <f t="shared" si="1"/>
        <v>1</v>
      </c>
      <c r="J5" t="s">
        <v>43</v>
      </c>
    </row>
    <row r="6" spans="1:10" x14ac:dyDescent="0.2">
      <c r="A6" s="8" t="s">
        <v>16</v>
      </c>
      <c r="B6" s="8" t="s">
        <v>17</v>
      </c>
      <c r="C6" s="17">
        <v>8</v>
      </c>
      <c r="D6" s="17">
        <v>1</v>
      </c>
      <c r="E6" s="18">
        <v>4</v>
      </c>
      <c r="F6" s="18">
        <v>9</v>
      </c>
      <c r="G6" s="19">
        <v>10</v>
      </c>
      <c r="H6" s="8">
        <f t="shared" si="0"/>
        <v>7.2222222222222223</v>
      </c>
      <c r="I6" s="8">
        <f t="shared" si="1"/>
        <v>7.2222222222222223</v>
      </c>
    </row>
    <row r="7" spans="1:10" x14ac:dyDescent="0.2">
      <c r="A7" s="8" t="s">
        <v>18</v>
      </c>
      <c r="B7" s="8" t="s">
        <v>19</v>
      </c>
      <c r="C7" s="17">
        <v>1</v>
      </c>
      <c r="D7" s="17">
        <v>1</v>
      </c>
      <c r="E7" s="18">
        <v>1</v>
      </c>
      <c r="F7" s="18">
        <v>1</v>
      </c>
      <c r="G7" s="19">
        <v>1</v>
      </c>
      <c r="H7" s="8">
        <f t="shared" si="0"/>
        <v>1</v>
      </c>
      <c r="I7" s="8">
        <f t="shared" si="1"/>
        <v>1</v>
      </c>
      <c r="J7" t="s">
        <v>44</v>
      </c>
    </row>
    <row r="8" spans="1:10" x14ac:dyDescent="0.2">
      <c r="A8" s="8" t="s">
        <v>20</v>
      </c>
      <c r="B8" s="8" t="s">
        <v>21</v>
      </c>
      <c r="C8" s="17">
        <v>3</v>
      </c>
      <c r="D8" s="17">
        <v>1</v>
      </c>
      <c r="E8" s="18">
        <v>4</v>
      </c>
      <c r="F8" s="18">
        <v>1</v>
      </c>
      <c r="G8" s="19">
        <v>1</v>
      </c>
      <c r="H8" s="8">
        <f t="shared" si="0"/>
        <v>1.8888888888888888</v>
      </c>
      <c r="I8" s="8">
        <f t="shared" si="1"/>
        <v>1.8888888888888888</v>
      </c>
      <c r="J8" t="s">
        <v>45</v>
      </c>
    </row>
    <row r="9" spans="1:10" x14ac:dyDescent="0.2">
      <c r="A9" s="8" t="s">
        <v>22</v>
      </c>
      <c r="B9" s="8" t="s">
        <v>23</v>
      </c>
      <c r="C9" s="17">
        <v>3</v>
      </c>
      <c r="D9" s="17">
        <v>3</v>
      </c>
      <c r="E9" s="18">
        <v>5</v>
      </c>
      <c r="F9" s="18">
        <v>4</v>
      </c>
      <c r="G9" s="19">
        <v>8</v>
      </c>
      <c r="H9" s="8">
        <f t="shared" si="0"/>
        <v>5.333333333333333</v>
      </c>
      <c r="I9" s="8">
        <f t="shared" si="1"/>
        <v>5.333333333333333</v>
      </c>
      <c r="J9" t="s">
        <v>46</v>
      </c>
    </row>
    <row r="10" spans="1:10" x14ac:dyDescent="0.2">
      <c r="A10" s="8" t="s">
        <v>24</v>
      </c>
      <c r="B10" s="8" t="s">
        <v>25</v>
      </c>
      <c r="C10" s="17">
        <v>5</v>
      </c>
      <c r="D10" s="17">
        <v>3</v>
      </c>
      <c r="E10" s="18">
        <v>4</v>
      </c>
      <c r="F10" s="18">
        <v>9</v>
      </c>
      <c r="G10" s="19">
        <v>10</v>
      </c>
      <c r="H10" s="8">
        <f t="shared" si="0"/>
        <v>7.1111111111111107</v>
      </c>
      <c r="I10" s="8">
        <f t="shared" si="1"/>
        <v>7.1111111111111107</v>
      </c>
    </row>
    <row r="11" spans="1:10" x14ac:dyDescent="0.2">
      <c r="A11" s="12" t="s">
        <v>26</v>
      </c>
      <c r="B11" s="12" t="s">
        <v>27</v>
      </c>
      <c r="C11" s="20">
        <v>7</v>
      </c>
      <c r="D11" s="20">
        <v>7</v>
      </c>
      <c r="E11" s="21">
        <v>7</v>
      </c>
      <c r="F11" s="21">
        <v>9</v>
      </c>
      <c r="G11" s="22">
        <v>10</v>
      </c>
      <c r="H11" s="12">
        <f t="shared" si="0"/>
        <v>8.4444444444444446</v>
      </c>
      <c r="I11" s="12"/>
    </row>
    <row r="12" spans="1:10" x14ac:dyDescent="0.2">
      <c r="A12" s="13"/>
      <c r="B12" s="13" t="s">
        <v>28</v>
      </c>
      <c r="C12" s="23">
        <v>9</v>
      </c>
      <c r="D12" s="23">
        <v>7</v>
      </c>
      <c r="E12" s="24">
        <v>9</v>
      </c>
      <c r="F12" s="24">
        <v>9</v>
      </c>
      <c r="G12" s="25">
        <v>10</v>
      </c>
      <c r="H12" s="13">
        <f t="shared" si="0"/>
        <v>9.1111111111111107</v>
      </c>
      <c r="I12" s="13"/>
    </row>
    <row r="13" spans="1:10" ht="13.5" thickBot="1" x14ac:dyDescent="0.25">
      <c r="A13" s="13"/>
      <c r="B13" s="13" t="s">
        <v>29</v>
      </c>
      <c r="C13" s="23">
        <v>8</v>
      </c>
      <c r="D13" s="23">
        <v>7</v>
      </c>
      <c r="E13" s="24">
        <v>9</v>
      </c>
      <c r="F13" s="24">
        <v>9</v>
      </c>
      <c r="G13" s="25">
        <v>10</v>
      </c>
      <c r="H13" s="13">
        <f t="shared" si="0"/>
        <v>9</v>
      </c>
      <c r="I13" s="13">
        <f>SUM(H11:H13)/3</f>
        <v>8.851851851851853</v>
      </c>
    </row>
    <row r="14" spans="1:10" ht="13.5" thickBot="1" x14ac:dyDescent="0.25">
      <c r="A14" s="8" t="s">
        <v>30</v>
      </c>
      <c r="B14" s="8" t="s">
        <v>30</v>
      </c>
      <c r="C14" s="17">
        <v>4</v>
      </c>
      <c r="D14" s="17">
        <v>4</v>
      </c>
      <c r="E14" s="18">
        <v>4</v>
      </c>
      <c r="F14" s="18">
        <v>8</v>
      </c>
      <c r="G14" s="19">
        <v>6</v>
      </c>
      <c r="H14" s="8">
        <f t="shared" si="0"/>
        <v>5.5555555555555554</v>
      </c>
      <c r="I14" s="8">
        <f>SUM(H14)</f>
        <v>5.5555555555555554</v>
      </c>
      <c r="J14" t="s">
        <v>47</v>
      </c>
    </row>
    <row r="15" spans="1:10" x14ac:dyDescent="0.2">
      <c r="A15" s="12" t="s">
        <v>31</v>
      </c>
      <c r="B15" s="12" t="s">
        <v>32</v>
      </c>
      <c r="C15" s="20">
        <v>7</v>
      </c>
      <c r="D15" s="20">
        <v>7</v>
      </c>
      <c r="E15" s="21">
        <v>7</v>
      </c>
      <c r="F15" s="21">
        <v>9</v>
      </c>
      <c r="G15" s="22">
        <v>1</v>
      </c>
      <c r="H15" s="12">
        <f t="shared" si="0"/>
        <v>5.4444444444444446</v>
      </c>
      <c r="I15" s="12"/>
    </row>
    <row r="16" spans="1:10" ht="13.5" thickBot="1" x14ac:dyDescent="0.25">
      <c r="A16" s="14"/>
      <c r="B16" s="14" t="s">
        <v>33</v>
      </c>
      <c r="C16" s="26">
        <v>7</v>
      </c>
      <c r="D16" s="26">
        <v>6</v>
      </c>
      <c r="E16" s="27">
        <v>8</v>
      </c>
      <c r="F16" s="27">
        <v>8</v>
      </c>
      <c r="G16" s="28">
        <v>9</v>
      </c>
      <c r="H16" s="14">
        <f t="shared" si="0"/>
        <v>8</v>
      </c>
      <c r="I16" s="14">
        <f>SUM(H15:H16)/2</f>
        <v>6.7222222222222223</v>
      </c>
      <c r="J16" t="s">
        <v>48</v>
      </c>
    </row>
    <row r="17" spans="1:10" ht="13.5" thickBot="1" x14ac:dyDescent="0.25">
      <c r="A17" s="8" t="s">
        <v>34</v>
      </c>
      <c r="B17" s="8" t="s">
        <v>35</v>
      </c>
      <c r="C17" s="17">
        <v>1</v>
      </c>
      <c r="D17" s="17">
        <v>1</v>
      </c>
      <c r="E17" s="18">
        <v>1</v>
      </c>
      <c r="F17" s="18">
        <v>1</v>
      </c>
      <c r="G17" s="19">
        <v>1</v>
      </c>
      <c r="H17" s="8">
        <f t="shared" si="0"/>
        <v>1</v>
      </c>
      <c r="I17" s="8">
        <f>SUM(H17)</f>
        <v>1</v>
      </c>
      <c r="J17" t="s">
        <v>43</v>
      </c>
    </row>
    <row r="18" spans="1:10" ht="13.5" thickBot="1" x14ac:dyDescent="0.25">
      <c r="A18" s="8" t="s">
        <v>36</v>
      </c>
      <c r="B18" s="8" t="s">
        <v>37</v>
      </c>
      <c r="C18" s="17">
        <v>1</v>
      </c>
      <c r="D18" s="17">
        <v>1</v>
      </c>
      <c r="E18" s="18">
        <v>1</v>
      </c>
      <c r="F18" s="18">
        <v>1</v>
      </c>
      <c r="G18" s="19">
        <v>1</v>
      </c>
      <c r="H18" s="8">
        <v>1</v>
      </c>
      <c r="I18" s="8">
        <f>SUM(H18)</f>
        <v>1</v>
      </c>
      <c r="J18" t="s">
        <v>43</v>
      </c>
    </row>
    <row r="19" spans="1:10" ht="13.5" thickBot="1" x14ac:dyDescent="0.25">
      <c r="A19" s="8" t="s">
        <v>38</v>
      </c>
      <c r="B19" s="8" t="s">
        <v>39</v>
      </c>
      <c r="C19" s="17">
        <v>1</v>
      </c>
      <c r="D19" s="17">
        <v>1</v>
      </c>
      <c r="E19" s="18">
        <v>1</v>
      </c>
      <c r="F19" s="18">
        <v>1</v>
      </c>
      <c r="G19" s="19">
        <v>1</v>
      </c>
      <c r="H19" s="8">
        <v>1</v>
      </c>
      <c r="I19" s="8">
        <f>SUM(H19)</f>
        <v>1</v>
      </c>
      <c r="J19" t="s">
        <v>43</v>
      </c>
    </row>
    <row r="20" spans="1:10" ht="13.5" thickBot="1" x14ac:dyDescent="0.25">
      <c r="A20" s="8" t="s">
        <v>40</v>
      </c>
      <c r="B20" s="8" t="s">
        <v>41</v>
      </c>
      <c r="C20" s="17">
        <v>1</v>
      </c>
      <c r="D20" s="17">
        <v>1</v>
      </c>
      <c r="E20" s="18">
        <v>1</v>
      </c>
      <c r="F20" s="18">
        <v>1</v>
      </c>
      <c r="G20" s="19">
        <v>1</v>
      </c>
      <c r="H20" s="8">
        <v>1</v>
      </c>
      <c r="I20" s="8">
        <f>SUM(H20)</f>
        <v>1</v>
      </c>
      <c r="J20" t="s">
        <v>43</v>
      </c>
    </row>
    <row r="21" spans="1:10" ht="13.5" thickBot="1" x14ac:dyDescent="0.25">
      <c r="H21" s="15" t="s">
        <v>42</v>
      </c>
      <c r="I21" s="16">
        <f>SUM(I3:I20)/15</f>
        <v>4.3049382716049385</v>
      </c>
    </row>
  </sheetData>
  <mergeCells count="1">
    <mergeCell ref="A1:I1"/>
  </mergeCells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 r:id="rId1"/>
  <headerFooter>
    <oddHeader>&amp;C&amp;"Times New Roman,Standard"&amp;12&amp;A</oddHeader>
    <oddFooter>&amp;C&amp;"Times New Roman,Standard"&amp;12Seite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Jannik</dc:creator>
  <dc:description/>
  <cp:lastModifiedBy>Jannik</cp:lastModifiedBy>
  <cp:revision>8</cp:revision>
  <dcterms:created xsi:type="dcterms:W3CDTF">2019-04-30T16:12:57Z</dcterms:created>
  <dcterms:modified xsi:type="dcterms:W3CDTF">2019-05-21T20:36:48Z</dcterms:modified>
  <dc:language>de-DE</dc:language>
</cp:coreProperties>
</file>